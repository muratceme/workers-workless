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" sheetId="1" state="visible" r:id="rId1"/>
    <sheet name="Temsilci" sheetId="2" state="visible" r:id="rId2"/>
    <sheet name="Bölge" sheetId="3" state="visible" r:id="rId3"/>
    <sheet name="Temsilci × Ürün Grubu" sheetId="4" state="visible" r:id="rId4"/>
    <sheet name="Bilg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DE2E1"/>
      </patternFill>
    </fill>
    <fill>
      <patternFill patternType="solid">
        <fgColor rgb="00E3F5E1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gerçekleşen, hedef ve geçen yıl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'Genel'!B5</f>
            </strRef>
          </tx>
          <spPr>
            <a:ln>
              <a:prstDash val="solid"/>
            </a:ln>
          </spPr>
          <cat>
            <numRef>
              <f>'Genel'!$A$6:$A$15</f>
            </numRef>
          </cat>
          <val>
            <numRef>
              <f>'Genel'!$B$6:$B$15</f>
            </numRef>
          </val>
        </ser>
        <ser>
          <idx val="1"/>
          <order val="1"/>
          <tx>
            <strRef>
              <f>'Genel'!C5</f>
            </strRef>
          </tx>
          <spPr>
            <a:ln>
              <a:prstDash val="solid"/>
            </a:ln>
          </spPr>
          <cat>
            <numRef>
              <f>'Genel'!$A$6:$A$15</f>
            </numRef>
          </cat>
          <val>
            <numRef>
              <f>'Genel'!$C$6:$C$15</f>
            </numRef>
          </val>
        </ser>
        <ser>
          <idx val="2"/>
          <order val="2"/>
          <tx>
            <strRef>
              <f>'Genel'!D5</f>
            </strRef>
          </tx>
          <spPr>
            <a:ln>
              <a:prstDash val="solid"/>
            </a:ln>
          </spPr>
          <cat>
            <numRef>
              <f>'Genel'!$A$6:$A$15</f>
            </numRef>
          </cat>
          <val>
            <numRef>
              <f>'Genel'!$D$6:$D$15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Satış hedef-gerçekleşme · 2026-10 · 15.10.2026 itibarıyla · 11/22 iş günü geçti</t>
        </is>
      </c>
    </row>
    <row r="2">
      <c r="A2" s="2" t="inlineStr">
        <is>
          <t>Kapsam</t>
        </is>
      </c>
      <c r="B2" s="2" t="inlineStr">
        <is>
          <t>Ay Gerçekleşen</t>
        </is>
      </c>
      <c r="C2" s="2" t="inlineStr">
        <is>
          <t>Ay Hedefi</t>
        </is>
      </c>
      <c r="D2" s="2" t="inlineStr">
        <is>
          <t>Gerçekleşme %</t>
        </is>
      </c>
      <c r="E2" s="2" t="inlineStr">
        <is>
          <t>GY Aynı Dönem</t>
        </is>
      </c>
      <c r="F2" s="2" t="inlineStr">
        <is>
          <t>GY'ye Göre %</t>
        </is>
      </c>
      <c r="G2" s="2" t="inlineStr">
        <is>
          <t>Bugüne Beklenen</t>
        </is>
      </c>
      <c r="H2" s="2" t="inlineStr">
        <is>
          <t>Ay Sonu Tahmini</t>
        </is>
      </c>
      <c r="I2" s="2" t="inlineStr">
        <is>
          <t>Tahmin / Hedef</t>
        </is>
      </c>
      <c r="J2" s="2" t="inlineStr">
        <is>
          <t>Gereken Günlük</t>
        </is>
      </c>
      <c r="K2" s="2" t="inlineStr">
        <is>
          <t>YTD Gerçekleşen</t>
        </is>
      </c>
      <c r="L2" s="2" t="inlineStr">
        <is>
          <t>YTD Hedef</t>
        </is>
      </c>
      <c r="M2" s="2" t="inlineStr">
        <is>
          <t>YTD %</t>
        </is>
      </c>
      <c r="N2" s="2" t="inlineStr">
        <is>
          <t>GY YTD</t>
        </is>
      </c>
      <c r="O2" s="2" t="inlineStr">
        <is>
          <t>YTD GY'ye Göre %</t>
        </is>
      </c>
    </row>
    <row r="3">
      <c r="A3" t="inlineStr">
        <is>
          <t>Toplam</t>
        </is>
      </c>
      <c r="B3" s="3" t="n">
        <v>967029.0800000002</v>
      </c>
      <c r="C3" s="3" t="n">
        <v>1740000</v>
      </c>
      <c r="D3" s="4" t="n">
        <v>0.5557638390804599</v>
      </c>
      <c r="E3" s="3" t="n">
        <v>883425.9400000002</v>
      </c>
      <c r="F3" s="5" t="n">
        <v>0.09463514281683882</v>
      </c>
      <c r="G3" s="3" t="n">
        <v>870000</v>
      </c>
      <c r="H3" s="3" t="n">
        <v>1934058.16</v>
      </c>
      <c r="I3" s="6" t="n">
        <v>1.11152767816092</v>
      </c>
      <c r="J3" s="3" t="n">
        <v>70270.08363636362</v>
      </c>
      <c r="K3" s="3" t="n">
        <v>18689666.08999997</v>
      </c>
      <c r="L3" s="3" t="n">
        <v>17400000</v>
      </c>
      <c r="M3" s="5" t="n">
        <v>1.074118740804596</v>
      </c>
      <c r="N3" s="3" t="n">
        <v>16179468.07999999</v>
      </c>
      <c r="O3" s="5" t="n">
        <v>0.155147128297928</v>
      </c>
    </row>
    <row r="5">
      <c r="A5" s="2" t="inlineStr">
        <is>
          <t>Ay</t>
        </is>
      </c>
      <c r="B5" s="2" t="inlineStr">
        <is>
          <t>Gerçekleşen</t>
        </is>
      </c>
      <c r="C5" s="2" t="inlineStr">
        <is>
          <t>Hedef</t>
        </is>
      </c>
      <c r="D5" s="2" t="inlineStr">
        <is>
          <t>GY Aynı Ay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t="inlineStr">
        <is>
          <t>2026-01</t>
        </is>
      </c>
      <c r="B6" s="3" t="n">
        <v>2103877.16</v>
      </c>
      <c r="C6" s="3" t="n">
        <v>1740000</v>
      </c>
      <c r="D6" s="3" t="n">
        <v>1896501.46</v>
      </c>
    </row>
    <row r="7">
      <c r="A7" t="inlineStr">
        <is>
          <t>2026-02</t>
        </is>
      </c>
      <c r="B7" s="3" t="n">
        <v>1791505.01</v>
      </c>
      <c r="C7" s="3" t="n">
        <v>1740000</v>
      </c>
      <c r="D7" s="3" t="n">
        <v>1544711.29</v>
      </c>
    </row>
    <row r="8">
      <c r="A8" t="inlineStr">
        <is>
          <t>2026-03</t>
        </is>
      </c>
      <c r="B8" s="3" t="n">
        <v>2131626.61</v>
      </c>
      <c r="C8" s="3" t="n">
        <v>1740000</v>
      </c>
      <c r="D8" s="3" t="n">
        <v>1766159.12</v>
      </c>
    </row>
    <row r="9">
      <c r="A9" t="inlineStr">
        <is>
          <t>2026-04</t>
        </is>
      </c>
      <c r="B9" s="3" t="n">
        <v>2217747.91</v>
      </c>
      <c r="C9" s="3" t="n">
        <v>1740000</v>
      </c>
      <c r="D9" s="3" t="n">
        <v>1566930.78</v>
      </c>
    </row>
    <row r="10">
      <c r="A10" t="inlineStr">
        <is>
          <t>2026-05</t>
        </is>
      </c>
      <c r="B10" s="3" t="n">
        <v>2059754.01</v>
      </c>
      <c r="C10" s="3" t="n">
        <v>1740000</v>
      </c>
      <c r="D10" s="3" t="n">
        <v>1792770.07</v>
      </c>
    </row>
    <row r="11">
      <c r="A11" t="inlineStr">
        <is>
          <t>2026-06</t>
        </is>
      </c>
      <c r="B11" s="3" t="n">
        <v>1709645.97</v>
      </c>
      <c r="C11" s="3" t="n">
        <v>1740000</v>
      </c>
      <c r="D11" s="3" t="n">
        <v>1491854.99</v>
      </c>
    </row>
    <row r="12">
      <c r="A12" t="inlineStr">
        <is>
          <t>2026-07</t>
        </is>
      </c>
      <c r="B12" s="3" t="n">
        <v>2207585.34</v>
      </c>
      <c r="C12" s="3" t="n">
        <v>1740000</v>
      </c>
      <c r="D12" s="3" t="n">
        <v>1559026.81</v>
      </c>
    </row>
    <row r="13">
      <c r="A13" t="inlineStr">
        <is>
          <t>2026-08</t>
        </is>
      </c>
      <c r="B13" s="3" t="n">
        <v>1695400.41</v>
      </c>
      <c r="C13" s="3" t="n">
        <v>1740000</v>
      </c>
      <c r="D13" s="3" t="n">
        <v>1707702.78</v>
      </c>
    </row>
    <row r="14">
      <c r="A14" t="inlineStr">
        <is>
          <t>2026-09</t>
        </is>
      </c>
      <c r="B14" s="3" t="n">
        <v>1805494.59</v>
      </c>
      <c r="C14" s="3" t="n">
        <v>1740000</v>
      </c>
      <c r="D14" s="3" t="n">
        <v>1970384.84</v>
      </c>
    </row>
    <row r="15">
      <c r="A15" t="inlineStr">
        <is>
          <t>2026-10</t>
        </is>
      </c>
      <c r="B15" s="3" t="n">
        <v>967029.08</v>
      </c>
      <c r="C15" s="3" t="n">
        <v>1740000</v>
      </c>
      <c r="D15" s="3" t="n">
        <v>1974396.16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Satış hedef-gerçekleşme · 2026-10 · 15.10.2026 itibarıyla · 11/22 iş günü geçti</t>
        </is>
      </c>
    </row>
    <row r="2">
      <c r="A2" s="2" t="inlineStr">
        <is>
          <t>Temsilci</t>
        </is>
      </c>
      <c r="B2" s="2" t="inlineStr">
        <is>
          <t>Ay Gerçekleşen</t>
        </is>
      </c>
      <c r="C2" s="2" t="inlineStr">
        <is>
          <t>Ay Hedefi</t>
        </is>
      </c>
      <c r="D2" s="2" t="inlineStr">
        <is>
          <t>Gerçekleşme %</t>
        </is>
      </c>
      <c r="E2" s="2" t="inlineStr">
        <is>
          <t>GY Aynı Dönem</t>
        </is>
      </c>
      <c r="F2" s="2" t="inlineStr">
        <is>
          <t>GY'ye Göre %</t>
        </is>
      </c>
      <c r="G2" s="2" t="inlineStr">
        <is>
          <t>Bugüne Beklenen</t>
        </is>
      </c>
      <c r="H2" s="2" t="inlineStr">
        <is>
          <t>Ay Sonu Tahmini</t>
        </is>
      </c>
      <c r="I2" s="2" t="inlineStr">
        <is>
          <t>Tahmin / Hedef</t>
        </is>
      </c>
      <c r="J2" s="2" t="inlineStr">
        <is>
          <t>Gereken Günlük</t>
        </is>
      </c>
      <c r="K2" s="2" t="inlineStr">
        <is>
          <t>YTD Gerçekleşen</t>
        </is>
      </c>
      <c r="L2" s="2" t="inlineStr">
        <is>
          <t>YTD Hedef</t>
        </is>
      </c>
      <c r="M2" s="2" t="inlineStr">
        <is>
          <t>YTD %</t>
        </is>
      </c>
      <c r="N2" s="2" t="inlineStr">
        <is>
          <t>GY YTD</t>
        </is>
      </c>
      <c r="O2" s="2" t="inlineStr">
        <is>
          <t>YTD GY'ye Göre %</t>
        </is>
      </c>
    </row>
    <row r="3">
      <c r="A3" t="inlineStr">
        <is>
          <t>Ece Yıldız</t>
        </is>
      </c>
      <c r="B3" s="3" t="n">
        <v>349697.7499999999</v>
      </c>
      <c r="C3" s="3" t="n">
        <v>450000</v>
      </c>
      <c r="D3" s="4" t="n">
        <v>0.7771061111111109</v>
      </c>
      <c r="E3" s="3" t="n">
        <v>223664.15</v>
      </c>
      <c r="F3" s="5" t="n">
        <v>0.5634948649571241</v>
      </c>
      <c r="G3" s="3" t="n">
        <v>225000</v>
      </c>
      <c r="H3" s="3" t="n">
        <v>699395.4999999999</v>
      </c>
      <c r="I3" s="6" t="n">
        <v>1.554212222222222</v>
      </c>
      <c r="J3" s="3" t="n">
        <v>9118.386363636369</v>
      </c>
      <c r="K3" s="3" t="n">
        <v>4818252.430000003</v>
      </c>
      <c r="L3" s="3" t="n">
        <v>4500000</v>
      </c>
      <c r="M3" s="5" t="n">
        <v>1.070722762222223</v>
      </c>
      <c r="N3" s="3" t="n">
        <v>4309205.199999999</v>
      </c>
      <c r="O3" s="5" t="n">
        <v>0.1181301902262637</v>
      </c>
    </row>
    <row r="4">
      <c r="A4" t="inlineStr">
        <is>
          <t>Selin Kaya</t>
        </is>
      </c>
      <c r="B4" s="3" t="n">
        <v>252124.2</v>
      </c>
      <c r="C4" s="3" t="n">
        <v>430000</v>
      </c>
      <c r="D4" s="4" t="n">
        <v>0.5863353488372093</v>
      </c>
      <c r="E4" s="3" t="n">
        <v>175962.39</v>
      </c>
      <c r="F4" s="5" t="n">
        <v>0.4328300496486779</v>
      </c>
      <c r="G4" s="3" t="n">
        <v>215000</v>
      </c>
      <c r="H4" s="3" t="n">
        <v>504248.4</v>
      </c>
      <c r="I4" s="6" t="n">
        <v>1.172670697674419</v>
      </c>
      <c r="J4" s="3" t="n">
        <v>16170.52727272727</v>
      </c>
      <c r="K4" s="3" t="n">
        <v>4723907.979999999</v>
      </c>
      <c r="L4" s="3" t="n">
        <v>4300000</v>
      </c>
      <c r="M4" s="5" t="n">
        <v>1.09858325116279</v>
      </c>
      <c r="N4" s="3" t="n">
        <v>3894969.620000002</v>
      </c>
      <c r="O4" s="5" t="n">
        <v>0.2128228050210046</v>
      </c>
    </row>
    <row r="5">
      <c r="A5" t="inlineStr">
        <is>
          <t>Burak Şahin</t>
        </is>
      </c>
      <c r="B5" s="3" t="n">
        <v>183552.96</v>
      </c>
      <c r="C5" s="3" t="n">
        <v>370000</v>
      </c>
      <c r="D5" s="4" t="n">
        <v>0.4960890810810811</v>
      </c>
      <c r="E5" s="3" t="n">
        <v>206074.87</v>
      </c>
      <c r="F5" s="5" t="n">
        <v>-0.1092899391371689</v>
      </c>
      <c r="G5" s="3" t="n">
        <v>185000</v>
      </c>
      <c r="H5" s="3" t="n">
        <v>367105.92</v>
      </c>
      <c r="I5" s="7" t="n">
        <v>0.9921781621621623</v>
      </c>
      <c r="J5" s="3" t="n">
        <v>16949.73090909091</v>
      </c>
      <c r="K5" s="3" t="n">
        <v>3776862.12</v>
      </c>
      <c r="L5" s="3" t="n">
        <v>3700000</v>
      </c>
      <c r="M5" s="5" t="n">
        <v>1.020773545945946</v>
      </c>
      <c r="N5" s="3" t="n">
        <v>3556452.38</v>
      </c>
      <c r="O5" s="5" t="n">
        <v>0.06197460740357208</v>
      </c>
    </row>
    <row r="6">
      <c r="A6" t="inlineStr">
        <is>
          <t>Ali Demir</t>
        </is>
      </c>
      <c r="B6" s="3" t="n">
        <v>181654.17</v>
      </c>
      <c r="C6" s="3" t="n">
        <v>490000</v>
      </c>
      <c r="D6" s="4" t="n">
        <v>0.3707227959183674</v>
      </c>
      <c r="E6" s="3" t="n">
        <v>277724.53</v>
      </c>
      <c r="F6" s="5" t="n">
        <v>-0.3459196060211174</v>
      </c>
      <c r="G6" s="3" t="n">
        <v>245000</v>
      </c>
      <c r="H6" s="3" t="n">
        <v>363308.3400000001</v>
      </c>
      <c r="I6" s="4" t="n">
        <v>0.7414455918367349</v>
      </c>
      <c r="J6" s="3" t="n">
        <v>28031.43909090909</v>
      </c>
      <c r="K6" s="3" t="n">
        <v>5370643.560000006</v>
      </c>
      <c r="L6" s="3" t="n">
        <v>4900000</v>
      </c>
      <c r="M6" s="5" t="n">
        <v>1.09604970612245</v>
      </c>
      <c r="N6" s="3" t="n">
        <v>4418840.879999999</v>
      </c>
      <c r="O6" s="5" t="n">
        <v>0.2153964593538402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Satış hedef-gerçekleşme · 2026-10 · 15.10.2026 itibarıyla · 11/22 iş günü geçti</t>
        </is>
      </c>
    </row>
    <row r="2">
      <c r="A2" s="2" t="inlineStr">
        <is>
          <t>Bölge</t>
        </is>
      </c>
      <c r="B2" s="2" t="inlineStr">
        <is>
          <t>Ay Gerçekleşen</t>
        </is>
      </c>
      <c r="C2" s="2" t="inlineStr">
        <is>
          <t>Ay Hedefi</t>
        </is>
      </c>
      <c r="D2" s="2" t="inlineStr">
        <is>
          <t>Gerçekleşme %</t>
        </is>
      </c>
      <c r="E2" s="2" t="inlineStr">
        <is>
          <t>GY Aynı Dönem</t>
        </is>
      </c>
      <c r="F2" s="2" t="inlineStr">
        <is>
          <t>GY'ye Göre %</t>
        </is>
      </c>
      <c r="G2" s="2" t="inlineStr">
        <is>
          <t>Bugüne Beklenen</t>
        </is>
      </c>
      <c r="H2" s="2" t="inlineStr">
        <is>
          <t>Ay Sonu Tahmini</t>
        </is>
      </c>
      <c r="I2" s="2" t="inlineStr">
        <is>
          <t>Tahmin / Hedef</t>
        </is>
      </c>
      <c r="J2" s="2" t="inlineStr">
        <is>
          <t>Gereken Günlük</t>
        </is>
      </c>
      <c r="K2" s="2" t="inlineStr">
        <is>
          <t>YTD Gerçekleşen</t>
        </is>
      </c>
      <c r="L2" s="2" t="inlineStr">
        <is>
          <t>YTD Hedef</t>
        </is>
      </c>
      <c r="M2" s="2" t="inlineStr">
        <is>
          <t>YTD %</t>
        </is>
      </c>
      <c r="N2" s="2" t="inlineStr">
        <is>
          <t>GY YTD</t>
        </is>
      </c>
      <c r="O2" s="2" t="inlineStr">
        <is>
          <t>YTD GY'ye Göre %</t>
        </is>
      </c>
    </row>
    <row r="3">
      <c r="A3" t="inlineStr">
        <is>
          <t>Ege</t>
        </is>
      </c>
      <c r="B3" s="3" t="n">
        <v>533250.7100000001</v>
      </c>
      <c r="C3" s="3" t="n">
        <v>820000</v>
      </c>
      <c r="D3" s="4" t="n">
        <v>0.6503057439024391</v>
      </c>
      <c r="E3" s="3" t="n">
        <v>429739.02</v>
      </c>
      <c r="F3" s="5" t="n">
        <v>0.2408710523889595</v>
      </c>
      <c r="G3" s="3" t="n">
        <v>410000</v>
      </c>
      <c r="H3" s="3" t="n">
        <v>1066501.42</v>
      </c>
      <c r="I3" s="6" t="n">
        <v>1.300611487804878</v>
      </c>
      <c r="J3" s="3" t="n">
        <v>26068.11727272726</v>
      </c>
      <c r="K3" s="3" t="n">
        <v>8595114.550000004</v>
      </c>
      <c r="L3" s="3" t="n">
        <v>8200000</v>
      </c>
      <c r="M3" s="5" t="n">
        <v>1.048184701219513</v>
      </c>
      <c r="N3" s="3" t="n">
        <v>7865657.579999993</v>
      </c>
      <c r="O3" s="5" t="n">
        <v>0.09273947697072416</v>
      </c>
    </row>
    <row r="4">
      <c r="A4" t="inlineStr">
        <is>
          <t>Marmara</t>
        </is>
      </c>
      <c r="B4" s="3" t="n">
        <v>433778.37</v>
      </c>
      <c r="C4" s="3" t="n">
        <v>920000</v>
      </c>
      <c r="D4" s="4" t="n">
        <v>0.4714982282608696</v>
      </c>
      <c r="E4" s="3" t="n">
        <v>453686.9199999998</v>
      </c>
      <c r="F4" s="5" t="n">
        <v>-0.04388169268798792</v>
      </c>
      <c r="G4" s="3" t="n">
        <v>460000</v>
      </c>
      <c r="H4" s="3" t="n">
        <v>867556.74</v>
      </c>
      <c r="I4" s="7" t="n">
        <v>0.9429964565217391</v>
      </c>
      <c r="J4" s="3" t="n">
        <v>44201.96636363636</v>
      </c>
      <c r="K4" s="3" t="n">
        <v>10094551.54</v>
      </c>
      <c r="L4" s="3" t="n">
        <v>9200000</v>
      </c>
      <c r="M4" s="5" t="n">
        <v>1.097233863043478</v>
      </c>
      <c r="N4" s="3" t="n">
        <v>8313810.499999993</v>
      </c>
      <c r="O4" s="5" t="n">
        <v>0.2141907179626008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Satış hedef-gerçekleşme · 2026-10 · 15.10.2026 itibarıyla · 11/22 iş günü geçti</t>
        </is>
      </c>
    </row>
    <row r="2">
      <c r="A2" s="2" t="inlineStr">
        <is>
          <t>Temsilci</t>
        </is>
      </c>
      <c r="B2" s="2" t="inlineStr">
        <is>
          <t>Ürün Grubu</t>
        </is>
      </c>
      <c r="C2" s="2" t="inlineStr">
        <is>
          <t>Ay Gerçekleşen</t>
        </is>
      </c>
      <c r="D2" s="2" t="inlineStr">
        <is>
          <t>Ay Hedefi</t>
        </is>
      </c>
      <c r="E2" s="2" t="inlineStr">
        <is>
          <t>Gerçekleşme %</t>
        </is>
      </c>
      <c r="F2" s="2" t="inlineStr">
        <is>
          <t>GY Aynı Dönem</t>
        </is>
      </c>
      <c r="G2" s="2" t="inlineStr">
        <is>
          <t>GY'ye Göre %</t>
        </is>
      </c>
      <c r="H2" s="2" t="inlineStr">
        <is>
          <t>Bugüne Beklenen</t>
        </is>
      </c>
      <c r="I2" s="2" t="inlineStr">
        <is>
          <t>Ay Sonu Tahmini</t>
        </is>
      </c>
      <c r="J2" s="2" t="inlineStr">
        <is>
          <t>Tahmin / Hedef</t>
        </is>
      </c>
      <c r="K2" s="2" t="inlineStr">
        <is>
          <t>Gereken Günlük</t>
        </is>
      </c>
      <c r="L2" s="2" t="inlineStr">
        <is>
          <t>YTD Gerçekleşen</t>
        </is>
      </c>
      <c r="M2" s="2" t="inlineStr">
        <is>
          <t>YTD Hedef</t>
        </is>
      </c>
      <c r="N2" s="2" t="inlineStr">
        <is>
          <t>YTD %</t>
        </is>
      </c>
      <c r="O2" s="2" t="inlineStr">
        <is>
          <t>GY YTD</t>
        </is>
      </c>
      <c r="P2" s="2" t="inlineStr">
        <is>
          <t>YTD GY'ye Göre %</t>
        </is>
      </c>
    </row>
    <row r="3">
      <c r="A3" t="inlineStr">
        <is>
          <t>Ece Yıldız</t>
        </is>
      </c>
      <c r="B3" t="inlineStr">
        <is>
          <t>Boya</t>
        </is>
      </c>
      <c r="C3" s="3" t="n">
        <v>198182.27</v>
      </c>
      <c r="D3" s="3" t="n"/>
      <c r="E3" s="5" t="n"/>
      <c r="F3" s="3" t="n">
        <v>78738.06</v>
      </c>
      <c r="G3" s="5" t="n">
        <v>1.516981876363222</v>
      </c>
      <c r="H3" s="3" t="n"/>
      <c r="I3" s="3" t="n">
        <v>396364.54</v>
      </c>
      <c r="J3" s="5" t="n"/>
      <c r="K3" s="3" t="n"/>
      <c r="L3" s="3" t="n">
        <v>2211307.74</v>
      </c>
      <c r="M3" s="3" t="n"/>
      <c r="N3" s="5" t="n"/>
      <c r="O3" s="3" t="n">
        <v>1955042.63</v>
      </c>
      <c r="P3" s="5" t="n">
        <v>0.1310790394376209</v>
      </c>
    </row>
    <row r="4">
      <c r="A4" t="inlineStr">
        <is>
          <t>Selin Kaya</t>
        </is>
      </c>
      <c r="B4" t="inlineStr">
        <is>
          <t>Boya</t>
        </is>
      </c>
      <c r="C4" s="3" t="n">
        <v>135634.22</v>
      </c>
      <c r="D4" s="3" t="n"/>
      <c r="E4" s="5" t="n"/>
      <c r="F4" s="3" t="n">
        <v>42106.12</v>
      </c>
      <c r="G4" s="5" t="n">
        <v>2.221247172620037</v>
      </c>
      <c r="H4" s="3" t="n"/>
      <c r="I4" s="3" t="n">
        <v>271268.44</v>
      </c>
      <c r="J4" s="5" t="n"/>
      <c r="K4" s="3" t="n"/>
      <c r="L4" s="3" t="n">
        <v>2342259.419999999</v>
      </c>
      <c r="M4" s="3" t="n"/>
      <c r="N4" s="5" t="n"/>
      <c r="O4" s="3" t="n">
        <v>1615745.05</v>
      </c>
      <c r="P4" s="5" t="n">
        <v>0.4496466630054037</v>
      </c>
    </row>
    <row r="5">
      <c r="A5" t="inlineStr">
        <is>
          <t>Ece Yıldız</t>
        </is>
      </c>
      <c r="B5" t="inlineStr">
        <is>
          <t>Yalıtım</t>
        </is>
      </c>
      <c r="C5" s="3" t="n">
        <v>86384.82000000001</v>
      </c>
      <c r="D5" s="3" t="n"/>
      <c r="E5" s="5" t="n"/>
      <c r="F5" s="3" t="n">
        <v>88492.89999999999</v>
      </c>
      <c r="G5" s="5" t="n">
        <v>-0.02382202413978962</v>
      </c>
      <c r="H5" s="3" t="n"/>
      <c r="I5" s="3" t="n">
        <v>172769.64</v>
      </c>
      <c r="J5" s="5" t="n"/>
      <c r="K5" s="3" t="n"/>
      <c r="L5" s="3" t="n">
        <v>1759096.93</v>
      </c>
      <c r="M5" s="3" t="n"/>
      <c r="N5" s="5" t="n"/>
      <c r="O5" s="3" t="n">
        <v>1400361.42</v>
      </c>
      <c r="P5" s="5" t="n">
        <v>0.256173516976782</v>
      </c>
    </row>
    <row r="6">
      <c r="A6" t="inlineStr">
        <is>
          <t>Ali Demir</t>
        </is>
      </c>
      <c r="B6" t="inlineStr">
        <is>
          <t>Yalıtım</t>
        </is>
      </c>
      <c r="C6" s="3" t="n">
        <v>75534.42999999999</v>
      </c>
      <c r="D6" s="3" t="n"/>
      <c r="E6" s="5" t="n"/>
      <c r="F6" s="3" t="n">
        <v>75950.04000000001</v>
      </c>
      <c r="G6" s="5" t="n">
        <v>-0.005472149850085817</v>
      </c>
      <c r="H6" s="3" t="n"/>
      <c r="I6" s="3" t="n">
        <v>151068.86</v>
      </c>
      <c r="J6" s="5" t="n"/>
      <c r="K6" s="3" t="n"/>
      <c r="L6" s="3" t="n">
        <v>1574907.82</v>
      </c>
      <c r="M6" s="3" t="n"/>
      <c r="N6" s="5" t="n"/>
      <c r="O6" s="3" t="n">
        <v>1533899.13</v>
      </c>
      <c r="P6" s="5" t="n">
        <v>0.02673493269404226</v>
      </c>
    </row>
    <row r="7">
      <c r="A7" t="inlineStr">
        <is>
          <t>Burak Şahin</t>
        </is>
      </c>
      <c r="B7" t="inlineStr">
        <is>
          <t>Yalıtım</t>
        </is>
      </c>
      <c r="C7" s="3" t="n">
        <v>72816.56</v>
      </c>
      <c r="D7" s="3" t="n"/>
      <c r="E7" s="5" t="n"/>
      <c r="F7" s="3" t="n">
        <v>73599.14</v>
      </c>
      <c r="G7" s="5" t="n">
        <v>-0.01063300467913075</v>
      </c>
      <c r="H7" s="3" t="n"/>
      <c r="I7" s="3" t="n">
        <v>145633.12</v>
      </c>
      <c r="J7" s="5" t="n"/>
      <c r="K7" s="3" t="n"/>
      <c r="L7" s="3" t="n">
        <v>1345810.26</v>
      </c>
      <c r="M7" s="3" t="n"/>
      <c r="N7" s="5" t="n"/>
      <c r="O7" s="3" t="n">
        <v>1114015.01</v>
      </c>
      <c r="P7" s="5" t="n">
        <v>0.2080719271457567</v>
      </c>
    </row>
    <row r="8">
      <c r="A8" t="inlineStr">
        <is>
          <t>Selin Kaya</t>
        </is>
      </c>
      <c r="B8" t="inlineStr">
        <is>
          <t>Hırdavat</t>
        </is>
      </c>
      <c r="C8" s="3" t="n">
        <v>65992.48</v>
      </c>
      <c r="D8" s="3" t="n"/>
      <c r="E8" s="5" t="n"/>
      <c r="F8" s="3" t="n">
        <v>54512.87</v>
      </c>
      <c r="G8" s="5" t="n">
        <v>0.2105853168251828</v>
      </c>
      <c r="H8" s="3" t="n"/>
      <c r="I8" s="3" t="n">
        <v>131984.96</v>
      </c>
      <c r="J8" s="5" t="n"/>
      <c r="K8" s="3" t="n"/>
      <c r="L8" s="3" t="n">
        <v>962396.4399999997</v>
      </c>
      <c r="M8" s="3" t="n"/>
      <c r="N8" s="5" t="n"/>
      <c r="O8" s="3" t="n">
        <v>887585.2800000003</v>
      </c>
      <c r="P8" s="5" t="n">
        <v>0.08428616571919645</v>
      </c>
    </row>
    <row r="9">
      <c r="A9" t="inlineStr">
        <is>
          <t>Ece Yıldız</t>
        </is>
      </c>
      <c r="B9" t="inlineStr">
        <is>
          <t>Hırdavat</t>
        </is>
      </c>
      <c r="C9" s="3" t="n">
        <v>65130.66</v>
      </c>
      <c r="D9" s="3" t="n"/>
      <c r="E9" s="5" t="n"/>
      <c r="F9" s="3" t="n">
        <v>56433.19</v>
      </c>
      <c r="G9" s="5" t="n">
        <v>0.154119765336675</v>
      </c>
      <c r="H9" s="3" t="n"/>
      <c r="I9" s="3" t="n">
        <v>130261.32</v>
      </c>
      <c r="J9" s="5" t="n"/>
      <c r="K9" s="3" t="n"/>
      <c r="L9" s="3" t="n">
        <v>847847.7599999999</v>
      </c>
      <c r="M9" s="3" t="n"/>
      <c r="N9" s="5" t="n"/>
      <c r="O9" s="3" t="n">
        <v>953801.15</v>
      </c>
      <c r="P9" s="5" t="n">
        <v>-0.1110854081062914</v>
      </c>
    </row>
    <row r="10">
      <c r="A10" t="inlineStr">
        <is>
          <t>Burak Şahin</t>
        </is>
      </c>
      <c r="B10" t="inlineStr">
        <is>
          <t>Boya</t>
        </is>
      </c>
      <c r="C10" s="3" t="n">
        <v>64039.07999999999</v>
      </c>
      <c r="D10" s="3" t="n"/>
      <c r="E10" s="5" t="n"/>
      <c r="F10" s="3" t="n">
        <v>85016.76000000001</v>
      </c>
      <c r="G10" s="5" t="n">
        <v>-0.2467475824766788</v>
      </c>
      <c r="H10" s="3" t="n"/>
      <c r="I10" s="3" t="n">
        <v>128078.16</v>
      </c>
      <c r="J10" s="5" t="n"/>
      <c r="K10" s="3" t="n"/>
      <c r="L10" s="3" t="n">
        <v>1594990.72</v>
      </c>
      <c r="M10" s="3" t="n"/>
      <c r="N10" s="5" t="n"/>
      <c r="O10" s="3" t="n">
        <v>1677520.309999999</v>
      </c>
      <c r="P10" s="5" t="n">
        <v>-0.04919737156565285</v>
      </c>
    </row>
    <row r="11">
      <c r="A11" t="inlineStr">
        <is>
          <t>Ali Demir</t>
        </is>
      </c>
      <c r="B11" t="inlineStr">
        <is>
          <t>Boya</t>
        </is>
      </c>
      <c r="C11" s="3" t="n">
        <v>55532.7</v>
      </c>
      <c r="D11" s="3" t="n"/>
      <c r="E11" s="5" t="n"/>
      <c r="F11" s="3" t="n">
        <v>136309.73</v>
      </c>
      <c r="G11" s="5" t="n">
        <v>-0.5925991490115929</v>
      </c>
      <c r="H11" s="3" t="n"/>
      <c r="I11" s="3" t="n">
        <v>111065.4</v>
      </c>
      <c r="J11" s="5" t="n"/>
      <c r="K11" s="3" t="n"/>
      <c r="L11" s="3" t="n">
        <v>2610319.74</v>
      </c>
      <c r="M11" s="3" t="n"/>
      <c r="N11" s="5" t="n"/>
      <c r="O11" s="3" t="n">
        <v>1993926.069999999</v>
      </c>
      <c r="P11" s="5" t="n">
        <v>0.3091356692076357</v>
      </c>
    </row>
    <row r="12">
      <c r="A12" t="inlineStr">
        <is>
          <t>Ali Demir</t>
        </is>
      </c>
      <c r="B12" t="inlineStr">
        <is>
          <t>Hırdavat</t>
        </is>
      </c>
      <c r="C12" s="3" t="n">
        <v>50587.03999999999</v>
      </c>
      <c r="D12" s="3" t="n"/>
      <c r="E12" s="5" t="n"/>
      <c r="F12" s="3" t="n">
        <v>65464.75999999999</v>
      </c>
      <c r="G12" s="5" t="n">
        <v>-0.2272630343409188</v>
      </c>
      <c r="H12" s="3" t="n"/>
      <c r="I12" s="3" t="n">
        <v>101174.08</v>
      </c>
      <c r="J12" s="5" t="n"/>
      <c r="K12" s="3" t="n"/>
      <c r="L12" s="3" t="n">
        <v>1185416</v>
      </c>
      <c r="M12" s="3" t="n"/>
      <c r="N12" s="5" t="n"/>
      <c r="O12" s="3" t="n">
        <v>891015.6800000002</v>
      </c>
      <c r="P12" s="5" t="n">
        <v>0.3304098082763254</v>
      </c>
    </row>
    <row r="13">
      <c r="A13" t="inlineStr">
        <is>
          <t>Selin Kaya</t>
        </is>
      </c>
      <c r="B13" t="inlineStr">
        <is>
          <t>Yalıtım</t>
        </is>
      </c>
      <c r="C13" s="3" t="n">
        <v>50497.5</v>
      </c>
      <c r="D13" s="3" t="n"/>
      <c r="E13" s="5" t="n"/>
      <c r="F13" s="3" t="n">
        <v>79343.39999999999</v>
      </c>
      <c r="G13" s="5" t="n">
        <v>-0.3635576494075121</v>
      </c>
      <c r="H13" s="3" t="n"/>
      <c r="I13" s="3" t="n">
        <v>100995</v>
      </c>
      <c r="J13" s="5" t="n"/>
      <c r="K13" s="3" t="n"/>
      <c r="L13" s="3" t="n">
        <v>1419252.12</v>
      </c>
      <c r="M13" s="3" t="n"/>
      <c r="N13" s="5" t="n"/>
      <c r="O13" s="3" t="n">
        <v>1391639.29</v>
      </c>
      <c r="P13" s="5" t="n">
        <v>0.01984194481890533</v>
      </c>
    </row>
    <row r="14">
      <c r="A14" t="inlineStr">
        <is>
          <t>Burak Şahin</t>
        </is>
      </c>
      <c r="B14" t="inlineStr">
        <is>
          <t>Hırdavat</t>
        </is>
      </c>
      <c r="C14" s="3" t="n">
        <v>46697.32000000001</v>
      </c>
      <c r="D14" s="3" t="n"/>
      <c r="E14" s="5" t="n"/>
      <c r="F14" s="3" t="n">
        <v>47458.96999999999</v>
      </c>
      <c r="G14" s="5" t="n">
        <v>-0.01604859945338022</v>
      </c>
      <c r="H14" s="3" t="n"/>
      <c r="I14" s="3" t="n">
        <v>93394.64000000001</v>
      </c>
      <c r="J14" s="5" t="n"/>
      <c r="K14" s="3" t="n"/>
      <c r="L14" s="3" t="n">
        <v>836061.1400000005</v>
      </c>
      <c r="M14" s="3" t="n"/>
      <c r="N14" s="5" t="n"/>
      <c r="O14" s="3" t="n">
        <v>764917.0600000003</v>
      </c>
      <c r="P14" s="5" t="n">
        <v>0.09300888125047191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t="inlineStr">
        <is>
          <t>Dönem</t>
        </is>
      </c>
      <c r="B1" t="inlineStr">
        <is>
          <t>2026-10 · kesim tarihi 15.10.2026 · GY karşılaştırması 15.10.2025'e kadar (aynı gün sayısı)</t>
        </is>
      </c>
    </row>
    <row r="2">
      <c r="A2" t="inlineStr">
        <is>
          <t>İş günü</t>
        </is>
      </c>
      <c r="B2" t="inlineStr">
        <is>
          <t>ayda 22 iş günü; 11 geçti, 11 kaldı (resmî tatiller hariç tutulmadı)</t>
        </is>
      </c>
    </row>
    <row r="3">
      <c r="A3" t="inlineStr">
        <is>
          <t>Ay sonu tahmini</t>
        </is>
      </c>
      <c r="B3" t="inlineStr">
        <is>
          <t>bugüne kadarki gerçekleşen ÷ geçen iş günü × ayın iş günü (doğrusal run-rate)</t>
        </is>
      </c>
    </row>
    <row r="4">
      <c r="A4" t="inlineStr">
        <is>
          <t>Gereken günlük</t>
        </is>
      </c>
      <c r="B4" t="inlineStr">
        <is>
          <t>(ay hedefi − gerçekleşen) ÷ kalan iş günü</t>
        </is>
      </c>
    </row>
    <row r="5">
      <c r="A5" t="inlineStr">
        <is>
          <t>Hedef kırılımı</t>
        </is>
      </c>
      <c r="B5" t="inlineStr">
        <is>
          <t>hedefler yalnız hedef dosyasındaki boyutlarda (Temsilci, Bölge) gösterilir; diğer kırılımlarda yalnız gerçekleşen ve GY karşılaştırması vardır</t>
        </is>
      </c>
    </row>
    <row r="6">
      <c r="A6" t="inlineStr">
        <is>
          <t>Renk</t>
        </is>
      </c>
      <c r="B6" t="inlineStr">
        <is>
          <t>yeşil ≥ %100 · sarı %90–99 · kırmızı &lt; %90</t>
        </is>
      </c>
    </row>
    <row r="7">
      <c r="A7" t="inlineStr">
        <is>
          <t>İadeler</t>
        </is>
      </c>
      <c r="B7" t="inlineStr">
        <is>
          <t>Tür sütununda 'İade' yazan satırlar düşülür; tutarlar KDV hariç net satış olmalıdır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2026-10-16T10:42:37Z</dcterms:created>
  <dcterms:modified xsi:type="dcterms:W3CDTF">2026-10-16T10:42:37Z</dcterms:modified>
</cp:coreProperties>
</file>